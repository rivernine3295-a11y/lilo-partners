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월별입력" sheetId="2" state="visible" r:id="rId4"/>
    <sheet name="리포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<sst xmlns="http://schemas.openxmlformats.org/spreadsheetml/2006/main" count="83" uniqueCount="83">
  <si>
    <t xml:space="preserve">체어그로스 — 디자이너 매출 진단 리포트 프로토타입</t>
  </si>
  <si>
    <r>
      <rPr>
        <i val="true"/>
        <sz val="9"/>
        <color rgb="FF808080"/>
        <rFont val="Arial"/>
        <family val="0"/>
        <charset val="1"/>
      </rPr>
      <t xml:space="preserve">docs/chairgross/DIAGNOSTIC_REPORT_SPEC.md</t>
    </r>
    <r>
      <rPr>
        <i val="true"/>
        <sz val="9"/>
        <color rgb="FF808080"/>
        <rFont val="WenQuanYi Zen Hei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A</t>
    </r>
    <r>
      <rPr>
        <i val="true"/>
        <sz val="9"/>
        <color rgb="FF808080"/>
        <rFont val="WenQuanYi Zen Hei"/>
        <family val="2"/>
      </rPr>
      <t xml:space="preserve">그룹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지금 바로 구현 가능한 </t>
    </r>
    <r>
      <rPr>
        <i val="true"/>
        <sz val="9"/>
        <color rgb="FF808080"/>
        <rFont val="Arial"/>
        <family val="0"/>
        <charset val="1"/>
      </rPr>
      <t xml:space="preserve">8</t>
    </r>
    <r>
      <rPr>
        <i val="true"/>
        <sz val="9"/>
        <color rgb="FF808080"/>
        <rFont val="WenQuanYi Zen Hei"/>
        <family val="2"/>
      </rPr>
      <t xml:space="preserve">개 요소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스펙을 스프레드시트로 구현한 프로토타입입니다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</si>
  <si>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사용 방법</t>
  </si>
  <si>
    <r>
      <rPr>
        <sz val="11"/>
        <color rgb="FF000000"/>
        <rFont val="Arial"/>
        <family val="0"/>
        <charset val="1"/>
      </rPr>
      <t xml:space="preserve">1. '</t>
    </r>
    <r>
      <rPr>
        <sz val="11"/>
        <color rgb="FF000000"/>
        <rFont val="WenQuanYi Zen Hei"/>
        <family val="2"/>
      </rPr>
      <t xml:space="preserve">월별입력</t>
    </r>
    <r>
      <rPr>
        <sz val="11"/>
        <color rgb="FF000000"/>
        <rFont val="Arial"/>
        <family val="0"/>
        <charset val="1"/>
      </rPr>
      <t xml:space="preserve">' </t>
    </r>
    <r>
      <rPr>
        <sz val="11"/>
        <color rgb="FF000000"/>
        <rFont val="WenQuanYi Zen Hei"/>
        <family val="2"/>
      </rPr>
      <t xml:space="preserve">시트에 매달 한 줄씩 숫자를 입력하세요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맨 위 예시 줄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노란 표시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은 참고용이니 지우고 첫 줄부터 실제 데이터를 넣으세요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</si>
  <si>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2. '</t>
    </r>
    <r>
      <rPr>
        <sz val="11"/>
        <color rgb="FF000000"/>
        <rFont val="WenQuanYi Zen Hei"/>
        <family val="2"/>
      </rPr>
      <t xml:space="preserve">리포트</t>
    </r>
    <r>
      <rPr>
        <sz val="11"/>
        <color rgb="FF000000"/>
        <rFont val="Arial"/>
        <family val="0"/>
        <charset val="1"/>
      </rPr>
      <t xml:space="preserve">' </t>
    </r>
    <r>
      <rPr>
        <sz val="11"/>
        <color rgb="FF000000"/>
        <rFont val="WenQuanYi Zen Hei"/>
        <family val="2"/>
      </rPr>
      <t xml:space="preserve">시트는 월별입력에서 가장 최근에 채워진 줄을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이번 달</t>
    </r>
    <r>
      <rPr>
        <sz val="11"/>
        <color rgb="FF000000"/>
        <rFont val="Arial"/>
        <family val="0"/>
        <charset val="1"/>
      </rPr>
      <t xml:space="preserve">', </t>
    </r>
    <r>
      <rPr>
        <sz val="11"/>
        <color rgb="FF000000"/>
        <rFont val="WenQuanYi Zen Hei"/>
        <family val="2"/>
      </rPr>
      <t xml:space="preserve">그 바로 앞 줄을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지난달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로 자동으로 찾아 계산합니다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수식이 있는 셀은 직접 건드리지 마세요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</si>
  <si>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3. </t>
    </r>
    <r>
      <rPr>
        <sz val="11"/>
        <color rgb="FF000000"/>
        <rFont val="WenQuanYi Zen Hei"/>
        <family val="2"/>
      </rPr>
      <t xml:space="preserve">총매출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총접객수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노란 칸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필수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만 입력해도 리포트는 항상 정상 작동합니다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나머지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흰 칸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선택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를 채우면 더 정밀한 카드가 열립니다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</si>
  <si>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000000"/>
        <rFont val="WenQuanYi Zen Hei"/>
        <family val="2"/>
      </rPr>
      <t xml:space="preserve">필수 </t>
    </r>
    <r>
      <rPr>
        <b val="true"/>
        <sz val="11"/>
        <color rgb="FF000000"/>
        <rFont val="Arial"/>
        <family val="0"/>
        <charset val="1"/>
      </rPr>
      <t xml:space="preserve">/ </t>
    </r>
    <r>
      <rPr>
        <b val="true"/>
        <sz val="11"/>
        <color rgb="FF000000"/>
        <rFont val="WenQuanYi Zen Hei"/>
        <family val="2"/>
      </rPr>
      <t xml:space="preserve">선택 입력 기준</t>
    </r>
  </si>
  <si>
    <r>
      <rPr>
        <sz val="11"/>
        <color rgb="FF000000"/>
        <rFont val="WenQuanYi Zen Hei"/>
        <family val="2"/>
      </rPr>
      <t xml:space="preserve">필수 </t>
    </r>
    <r>
      <rPr>
        <sz val="11"/>
        <color rgb="FF000000"/>
        <rFont val="Arial"/>
        <family val="0"/>
        <charset val="1"/>
      </rPr>
      <t xml:space="preserve">(30</t>
    </r>
    <r>
      <rPr>
        <sz val="11"/>
        <color rgb="FF000000"/>
        <rFont val="WenQuanYi Zen Hei"/>
        <family val="2"/>
      </rPr>
      <t xml:space="preserve">초</t>
    </r>
    <r>
      <rPr>
        <sz val="11"/>
        <color rgb="FF000000"/>
        <rFont val="Arial"/>
        <family val="0"/>
        <charset val="1"/>
      </rPr>
      <t xml:space="preserve">): </t>
    </r>
    <r>
      <rPr>
        <sz val="11"/>
        <color rgb="FF000000"/>
        <rFont val="WenQuanYi Zen Hei"/>
        <family val="2"/>
      </rPr>
      <t xml:space="preserve">총매출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총접객수 — 이것만으로 </t>
    </r>
    <r>
      <rPr>
        <sz val="11"/>
        <color rgb="FF000000"/>
        <rFont val="Arial"/>
        <family val="0"/>
        <charset val="1"/>
      </rPr>
      <t xml:space="preserve">KPI </t>
    </r>
    <r>
      <rPr>
        <sz val="11"/>
        <color rgb="FF000000"/>
        <rFont val="WenQuanYi Zen Hei"/>
        <family val="2"/>
      </rPr>
      <t xml:space="preserve">카드 </t>
    </r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WenQuanYi Zen Hei"/>
        <family val="2"/>
      </rPr>
      <t xml:space="preserve">종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매출 잠재력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기본형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이 계산됩니다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</si>
  <si>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WenQuanYi Zen Hei"/>
        <family val="2"/>
      </rPr>
      <t xml:space="preserve">선택 </t>
    </r>
    <r>
      <rPr>
        <sz val="11"/>
        <color rgb="FF000000"/>
        <rFont val="Arial"/>
        <family val="0"/>
        <charset val="1"/>
      </rPr>
      <t xml:space="preserve">(+1</t>
    </r>
    <r>
      <rPr>
        <sz val="11"/>
        <color rgb="FF000000"/>
        <rFont val="WenQuanYi Zen Hei"/>
        <family val="2"/>
      </rPr>
      <t xml:space="preserve">분</t>
    </r>
    <r>
      <rPr>
        <sz val="11"/>
        <color rgb="FF000000"/>
        <rFont val="Arial"/>
        <family val="0"/>
        <charset val="1"/>
      </rPr>
      <t xml:space="preserve">): </t>
    </r>
    <r>
      <rPr>
        <sz val="11"/>
        <color rgb="FF000000"/>
        <rFont val="WenQuanYi Zen Hei"/>
        <family val="2"/>
      </rPr>
      <t xml:space="preserve">신규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재방문 인원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서비스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사전결제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멤버십</t>
    </r>
    <r>
      <rPr>
        <sz val="11"/>
        <color rgb="FF000000"/>
        <rFont val="Arial"/>
        <family val="0"/>
        <charset val="1"/>
      </rPr>
      <t xml:space="preserve">)·</t>
    </r>
    <r>
      <rPr>
        <sz val="11"/>
        <color rgb="FF000000"/>
        <rFont val="WenQuanYi Zen Hei"/>
        <family val="2"/>
      </rPr>
      <t xml:space="preserve">리테일 매출 분리 — 채우면 원인 분해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고객구조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매출구성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정밀 매출 잠재력 카드가 열립니다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</si>
  <si>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WenQuanYi Zen Hei"/>
        <family val="2"/>
      </rPr>
      <t xml:space="preserve">선택하지 않아도 카드 자체는 사라지지 않고</t>
    </r>
    <r>
      <rPr>
        <sz val="11"/>
        <color rgb="FF000000"/>
        <rFont val="Arial"/>
        <family val="0"/>
        <charset val="1"/>
      </rPr>
      <t xml:space="preserve">, '</t>
    </r>
    <r>
      <rPr>
        <sz val="11"/>
        <color rgb="FF000000"/>
        <rFont val="WenQuanYi Zen Hei"/>
        <family val="2"/>
      </rPr>
      <t xml:space="preserve">입력하면 이 진단이 열립니다</t>
    </r>
    <r>
      <rPr>
        <sz val="11"/>
        <color rgb="FF000000"/>
        <rFont val="Arial"/>
        <family val="0"/>
        <charset val="1"/>
      </rPr>
      <t xml:space="preserve">' </t>
    </r>
    <r>
      <rPr>
        <sz val="11"/>
        <color rgb="FF000000"/>
        <rFont val="WenQuanYi Zen Hei"/>
        <family val="2"/>
      </rPr>
      <t xml:space="preserve">안내로 표시됩니다</t>
    </r>
    <r>
      <rPr>
        <sz val="11"/>
        <color rgb="FF000000"/>
        <rFont val="Arial"/>
        <family val="0"/>
        <charset val="1"/>
      </rPr>
      <t xml:space="preserve">.</t>
    </r>
  </si>
  <si>
    <t xml:space="preserve">색상 안내</t>
  </si>
  <si>
    <r>
      <rPr>
        <sz val="11"/>
        <color rgb="FF000000"/>
        <rFont val="WenQuanYi Zen Hei"/>
        <family val="2"/>
      </rPr>
      <t xml:space="preserve">노란 배경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반드시 입력해야 하는 칸</t>
    </r>
  </si>
  <si>
    <r>
      <rPr>
        <sz val="11"/>
        <color rgb="FF000000"/>
        <rFont val="WenQuanYi Zen Hei"/>
        <family val="2"/>
      </rPr>
      <t xml:space="preserve">흰 배경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파란 글씨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선택 입력 칸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숫자를 직접 입력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</si>
  <si>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검은 글씨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자동 계산되는 수식 칸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건드리지 마세요</t>
    </r>
    <r>
      <rPr>
        <sz val="11"/>
        <color rgb="FF000000"/>
        <rFont val="Arial"/>
        <family val="0"/>
        <charset val="1"/>
      </rPr>
      <t xml:space="preserve">)</t>
    </r>
  </si>
  <si>
    <t xml:space="preserve">한계 및 주의사항</t>
  </si>
  <si>
    <r>
      <rPr>
        <sz val="11"/>
        <color rgb="FF000000"/>
        <rFont val="WenQuanYi Zen Hei"/>
        <family val="2"/>
      </rPr>
      <t xml:space="preserve">이 리포트의 모든 수치는 디자이너 자가 입력에 기반하며</t>
    </r>
    <r>
      <rPr>
        <sz val="11"/>
        <color rgb="FF000000"/>
        <rFont val="Arial"/>
        <family val="0"/>
        <charset val="1"/>
      </rPr>
      <t xml:space="preserve">, POS·</t>
    </r>
    <r>
      <rPr>
        <sz val="11"/>
        <color rgb="FF000000"/>
        <rFont val="WenQuanYi Zen Hei"/>
        <family val="2"/>
      </rPr>
      <t xml:space="preserve">예약 시스템과 대조 검증되지 않습니다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</si>
  <si>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매출 잠재력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은 반사실적 가정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객단가 </t>
    </r>
    <r>
      <rPr>
        <sz val="11"/>
        <color rgb="FF000000"/>
        <rFont val="Arial"/>
        <family val="0"/>
        <charset val="1"/>
      </rPr>
      <t xml:space="preserve">10% </t>
    </r>
    <r>
      <rPr>
        <sz val="11"/>
        <color rgb="FF000000"/>
        <rFont val="WenQuanYi Zen Hei"/>
        <family val="2"/>
      </rPr>
      <t xml:space="preserve">개선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재방문율 </t>
    </r>
    <r>
      <rPr>
        <sz val="11"/>
        <color rgb="FF000000"/>
        <rFont val="Arial"/>
        <family val="0"/>
        <charset val="1"/>
      </rPr>
      <t xml:space="preserve">10%p </t>
    </r>
    <r>
      <rPr>
        <sz val="11"/>
        <color rgb="FF000000"/>
        <rFont val="WenQuanYi Zen Hei"/>
        <family val="2"/>
      </rPr>
      <t xml:space="preserve">개선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에 기반한 참고용 추정치이며 실제 성과를 보장하지 않습니다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WenQuanYi Zen Hei"/>
        <family val="2"/>
      </rPr>
      <t xml:space="preserve">자세한 산식은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리포트</t>
    </r>
    <r>
      <rPr>
        <sz val="11"/>
        <color rgb="FF000000"/>
        <rFont val="Arial"/>
        <family val="0"/>
        <charset val="1"/>
      </rPr>
      <t xml:space="preserve">' </t>
    </r>
    <r>
      <rPr>
        <sz val="11"/>
        <color rgb="FF000000"/>
        <rFont val="WenQuanYi Zen Hei"/>
        <family val="2"/>
      </rPr>
      <t xml:space="preserve">시트 하단 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산식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해석범위 고지</t>
    </r>
    <r>
      <rPr>
        <sz val="11"/>
        <color rgb="FF000000"/>
        <rFont val="Arial"/>
        <family val="0"/>
        <charset val="1"/>
      </rPr>
      <t xml:space="preserve">'</t>
    </r>
    <r>
      <rPr>
        <sz val="11"/>
        <color rgb="FF000000"/>
        <rFont val="WenQuanYi Zen Hei"/>
        <family val="2"/>
      </rPr>
      <t xml:space="preserve">를 참고하세요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</si>
  <si>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WenQuanYi Zen Hei"/>
        <family val="2"/>
      </rPr>
      <t xml:space="preserve">내부 기준 대비 등급 판정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우수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양호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보완 등</t>
    </r>
    <r>
      <rPr>
        <sz val="11"/>
        <color rgb="FF000000"/>
        <rFont val="Arial"/>
        <family val="0"/>
        <charset val="1"/>
      </rPr>
      <t xml:space="preserve">), 90</t>
    </r>
    <r>
      <rPr>
        <sz val="11"/>
        <color rgb="FF000000"/>
        <rFont val="WenQuanYi Zen Hei"/>
        <family val="2"/>
      </rPr>
      <t xml:space="preserve">일 실행계획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동료 비교는 이번 프로토타입 범위</t>
    </r>
    <r>
      <rPr>
        <sz val="11"/>
        <color rgb="FF000000"/>
        <rFont val="Arial"/>
        <family val="0"/>
        <charset val="1"/>
      </rPr>
      <t xml:space="preserve">(A</t>
    </r>
    <r>
      <rPr>
        <sz val="11"/>
        <color rgb="FF000000"/>
        <rFont val="WenQuanYi Zen Hei"/>
        <family val="2"/>
      </rPr>
      <t xml:space="preserve">그룹</t>
    </r>
    <r>
      <rPr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WenQuanYi Zen Hei"/>
        <family val="2"/>
      </rPr>
      <t xml:space="preserve">에 포함되지 않습니다 — </t>
    </r>
    <r>
      <rPr>
        <sz val="11"/>
        <color rgb="FF000000"/>
        <rFont val="Arial"/>
        <family val="0"/>
        <charset val="1"/>
      </rPr>
      <t xml:space="preserve">DIAGNOSTIC_REPORT_SPEC.md</t>
    </r>
    <r>
      <rPr>
        <sz val="11"/>
        <color rgb="FF000000"/>
        <rFont val="WenQuanYi Zen Hei"/>
        <family val="2"/>
      </rPr>
      <t xml:space="preserve">의 보류 항목</t>
    </r>
    <r>
      <rPr>
        <sz val="11"/>
        <color rgb="FF000000"/>
        <rFont val="Arial"/>
        <family val="0"/>
        <charset val="1"/>
      </rPr>
      <t xml:space="preserve">(B/C/D</t>
    </r>
    <r>
      <rPr>
        <sz val="11"/>
        <color rgb="FF000000"/>
        <rFont val="WenQuanYi Zen Hei"/>
        <family val="2"/>
      </rPr>
      <t xml:space="preserve">그룹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WenQuanYi Zen Hei"/>
        <family val="2"/>
      </rPr>
      <t xml:space="preserve">참고</t>
    </r>
    <r>
      <rPr>
        <sz val="11"/>
        <color rgb="FF000000"/>
        <rFont val="Arial"/>
        <family val="0"/>
        <charset val="1"/>
      </rPr>
      <t xml:space="preserve">.</t>
    </r>
  </si>
  <si>
    <t xml:space="preserve">월</t>
  </si>
  <si>
    <r>
      <rPr>
        <b val="true"/>
        <sz val="11"/>
        <color rgb="FF1E2A5C"/>
        <rFont val="WenQuanYi Zen Hei"/>
        <family val="2"/>
      </rPr>
      <t xml:space="preserve">총매출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필수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</si>
  <si>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b val="true"/>
        <sz val="11"/>
        <color rgb="FF1E2A5C"/>
        <rFont val="WenQuanYi Zen Hei"/>
        <family val="2"/>
      </rPr>
      <t xml:space="preserve">총접객수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필수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</si>
  <si>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b val="true"/>
        <sz val="11"/>
        <color rgb="FF1E2A5C"/>
        <rFont val="WenQuanYi Zen Hei"/>
        <family val="2"/>
      </rPr>
      <t xml:space="preserve">신규 인원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선택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</si>
  <si>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b val="true"/>
        <sz val="11"/>
        <color rgb="FF1E2A5C"/>
        <rFont val="WenQuanYi Zen Hei"/>
        <family val="2"/>
      </rPr>
      <t xml:space="preserve">재방문 인원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선택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</si>
  <si>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b val="true"/>
        <sz val="11"/>
        <color rgb="FF1E2A5C"/>
        <rFont val="WenQuanYi Zen Hei"/>
        <family val="2"/>
      </rPr>
      <t xml:space="preserve">서비스 매출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선택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</si>
  <si>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b val="true"/>
        <sz val="11"/>
        <color rgb="FF1E2A5C"/>
        <rFont val="WenQuanYi Zen Hei"/>
        <family val="2"/>
      </rPr>
      <t xml:space="preserve">사전결제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멤버십</t>
    </r>
    <r>
      <rPr>
        <b val="true"/>
        <sz val="11"/>
        <color rgb="FF1E2A5C"/>
        <rFont val="Arial"/>
        <family val="0"/>
        <charset val="1"/>
      </rPr>
      <t xml:space="preserve">) </t>
    </r>
    <r>
      <rPr>
        <b val="true"/>
        <sz val="11"/>
        <color rgb="FF1E2A5C"/>
        <rFont val="WenQuanYi Zen Hei"/>
        <family val="2"/>
      </rPr>
      <t xml:space="preserve">매출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선택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</si>
  <si>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b val="true"/>
        <sz val="11"/>
        <color rgb="FF1E2A5C"/>
        <rFont val="WenQuanYi Zen Hei"/>
        <family val="2"/>
      </rPr>
      <t xml:space="preserve">리테일 매출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선택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</si>
  <si>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b val="true"/>
        <sz val="11"/>
        <color rgb="FF1E2A5C"/>
        <rFont val="WenQuanYi Zen Hei"/>
        <family val="2"/>
      </rPr>
      <t xml:space="preserve">이번달 목표매출
</t>
    </r>
    <r>
      <rPr>
        <b val="true"/>
        <sz val="11"/>
        <color rgb="FF1E2A5C"/>
        <rFont val="Arial"/>
        <family val="0"/>
        <charset val="1"/>
      </rPr>
      <t xml:space="preserve">(</t>
    </r>
    <r>
      <rPr>
        <b val="true"/>
        <sz val="11"/>
        <color rgb="FF1E2A5C"/>
        <rFont val="WenQuanYi Zen Hei"/>
        <family val="2"/>
      </rPr>
      <t xml:space="preserve">선택</t>
    </r>
    <r>
      <rPr>
        <b val="true"/>
        <sz val="11"/>
        <color rgb="FF1E2A5C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</si>
  <si>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hasCustomerData(</t>
    </r>
    <r>
      <rPr>
        <i val="true"/>
        <sz val="9"/>
        <color rgb="FF808080"/>
        <rFont val="WenQuanYi Zen Hei"/>
        <family val="2"/>
      </rPr>
      <t xml:space="preserve">자동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</si>
  <si>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hasRevenueMix(</t>
    </r>
    <r>
      <rPr>
        <i val="true"/>
        <sz val="9"/>
        <color rgb="FF808080"/>
        <rFont val="WenQuanYi Zen Hei"/>
        <family val="2"/>
      </rPr>
      <t xml:space="preserve">자동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</si>
  <si>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2026-08 (</t>
    </r>
    <r>
      <rPr>
        <sz val="11"/>
        <color rgb="FF0000FF"/>
        <rFont val="WenQuanYi Zen Hei"/>
        <family val="2"/>
      </rPr>
      <t xml:space="preserve">예시</t>
    </r>
    <r>
      <rPr>
        <sz val="11"/>
        <color rgb="FF0000FF"/>
        <rFont val="Arial"/>
        <family val="0"/>
        <charset val="1"/>
      </rPr>
      <t xml:space="preserve">)</t>
    </r>
  </si>
  <si>
    <t xml:space="preserve">체어그로스 매출 진단 리포트</t>
  </si>
  <si>
    <t xml:space="preserve">내부 계산 — 수정하지 마세요</t>
  </si>
  <si>
    <t xml:space="preserve">디자이너명</t>
  </si>
  <si>
    <t xml:space="preserve">디자이너 이름을 입력하세요</t>
  </si>
  <si>
    <t xml:space="preserve">관측기간</t>
  </si>
  <si>
    <t xml:space="preserve">입력된 월 수</t>
  </si>
  <si>
    <t xml:space="preserve">업데이트일</t>
  </si>
  <si>
    <r>
      <rPr>
        <i val="true"/>
        <sz val="9"/>
        <color rgb="FF808080"/>
        <rFont val="WenQuanYi Zen Hei"/>
        <family val="2"/>
      </rPr>
      <t xml:space="preserve">데이터 있음</t>
    </r>
    <r>
      <rPr>
        <i val="true"/>
        <sz val="9"/>
        <color rgb="FF808080"/>
        <rFont val="Arial"/>
        <family val="0"/>
        <charset val="1"/>
      </rPr>
      <t xml:space="preserve">(1/0)</t>
    </r>
  </si>
  <si>
    <r>
      <rPr>
        <i val="true"/>
        <sz val="9"/>
        <color rgb="FF808080"/>
        <rFont val="WenQuanYi Zen Hei"/>
        <family val="2"/>
      </rPr>
      <t xml:space="preserve">월 라벨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</si>
  <si>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① KPI </t>
    </r>
    <r>
      <rPr>
        <b val="true"/>
        <sz val="11"/>
        <color rgb="FFFFFFFF"/>
        <rFont val="WenQuanYi Zen Hei"/>
        <family val="2"/>
      </rPr>
      <t xml:space="preserve">카드 — 총매출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WenQuanYi Zen Hei"/>
        <family val="2"/>
      </rPr>
      <t xml:space="preserve">접객수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WenQuanYi Zen Hei"/>
        <family val="2"/>
      </rPr>
      <t xml:space="preserve">객단가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WenQuanYi Zen Hei"/>
        <family val="2"/>
      </rPr>
      <t xml:space="preserve">일평균매출</t>
    </r>
  </si>
  <si>
    <r>
      <rPr>
        <i val="true"/>
        <sz val="9"/>
        <color rgb="FF808080"/>
        <rFont val="WenQuanYi Zen Hei"/>
        <family val="2"/>
      </rPr>
      <t xml:space="preserve">총매출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</si>
  <si>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총매출</t>
  </si>
  <si>
    <r>
      <rPr>
        <i val="true"/>
        <sz val="9"/>
        <color rgb="FF808080"/>
        <rFont val="WenQuanYi Zen Hei"/>
        <family val="2"/>
      </rPr>
      <t xml:space="preserve">총접객수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</si>
  <si>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총접객수</t>
  </si>
  <si>
    <r>
      <rPr>
        <i val="true"/>
        <sz val="9"/>
        <color rgb="FF808080"/>
        <rFont val="WenQuanYi Zen Hei"/>
        <family val="2"/>
      </rPr>
      <t xml:space="preserve">신규인원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</si>
  <si>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9"/>
        <color rgb="FF5E6389"/>
        <rFont val="WenQuanYi Zen Hei"/>
        <family val="2"/>
      </rPr>
      <t xml:space="preserve">객단가 </t>
    </r>
    <r>
      <rPr>
        <sz val="9"/>
        <color rgb="FF5E6389"/>
        <rFont val="Arial"/>
        <family val="0"/>
        <charset val="1"/>
      </rPr>
      <t xml:space="preserve">(</t>
    </r>
    <r>
      <rPr>
        <sz val="9"/>
        <color rgb="FF5E6389"/>
        <rFont val="WenQuanYi Zen Hei"/>
        <family val="2"/>
      </rPr>
      <t xml:space="preserve">자동계산</t>
    </r>
    <r>
      <rPr>
        <sz val="9"/>
        <color rgb="FF5E6389"/>
        <rFont val="Arial"/>
        <family val="0"/>
        <charset val="1"/>
      </rPr>
      <t xml:space="preserve">)</t>
    </r>
  </si>
  <si>
    <r>
      <rPr>
        <i val="true"/>
        <sz val="9"/>
        <color rgb="FF808080"/>
        <rFont val="WenQuanYi Zen Hei"/>
        <family val="2"/>
      </rPr>
      <t xml:space="preserve">재방문인원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</si>
  <si>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9"/>
        <color rgb="FF5E6389"/>
        <rFont val="WenQuanYi Zen Hei"/>
        <family val="2"/>
      </rPr>
      <t xml:space="preserve">일평균매출 </t>
    </r>
    <r>
      <rPr>
        <sz val="9"/>
        <color rgb="FF5E6389"/>
        <rFont val="Arial"/>
        <family val="0"/>
        <charset val="1"/>
      </rPr>
      <t xml:space="preserve">(</t>
    </r>
    <r>
      <rPr>
        <sz val="9"/>
        <color rgb="FF5E6389"/>
        <rFont val="WenQuanYi Zen Hei"/>
        <family val="2"/>
      </rPr>
      <t xml:space="preserve">자동계산</t>
    </r>
    <r>
      <rPr>
        <sz val="9"/>
        <color rgb="FF5E6389"/>
        <rFont val="Arial"/>
        <family val="0"/>
        <charset val="1"/>
      </rPr>
      <t xml:space="preserve">)</t>
    </r>
  </si>
  <si>
    <r>
      <rPr>
        <i val="true"/>
        <sz val="9"/>
        <color rgb="FF808080"/>
        <rFont val="WenQuanYi Zen Hei"/>
        <family val="2"/>
      </rPr>
      <t xml:space="preserve">서비스매출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</si>
  <si>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i val="true"/>
        <sz val="9"/>
        <color rgb="FF808080"/>
        <rFont val="WenQuanYi Zen Hei"/>
        <family val="2"/>
      </rPr>
      <t xml:space="preserve">사전결제매출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</si>
  <si>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② 원인 분해 — 서비스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사전결제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리테일 매출 증감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전월 대비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</si>
  <si>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808080"/>
        <rFont val="WenQuanYi Zen Hei"/>
        <family val="2"/>
      </rPr>
      <t xml:space="preserve">리테일매출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</si>
  <si>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서비스 매출 증감</t>
  </si>
  <si>
    <r>
      <rPr>
        <i val="true"/>
        <sz val="9"/>
        <color rgb="FF808080"/>
        <rFont val="WenQuanYi Zen Hei"/>
        <family val="2"/>
      </rPr>
      <t xml:space="preserve">목표매출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</si>
  <si>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9"/>
        <color rgb="FF5E6389"/>
        <rFont val="WenQuanYi Zen Hei"/>
        <family val="2"/>
      </rPr>
      <t xml:space="preserve">사전결제</t>
    </r>
    <r>
      <rPr>
        <sz val="9"/>
        <color rgb="FF5E6389"/>
        <rFont val="Arial"/>
        <family val="0"/>
        <charset val="1"/>
      </rPr>
      <t xml:space="preserve">(</t>
    </r>
    <r>
      <rPr>
        <sz val="9"/>
        <color rgb="FF5E6389"/>
        <rFont val="WenQuanYi Zen Hei"/>
        <family val="2"/>
      </rPr>
      <t xml:space="preserve">멤버십</t>
    </r>
    <r>
      <rPr>
        <sz val="9"/>
        <color rgb="FF5E6389"/>
        <rFont val="Arial"/>
        <family val="0"/>
        <charset val="1"/>
      </rPr>
      <t xml:space="preserve">) </t>
    </r>
    <r>
      <rPr>
        <sz val="9"/>
        <color rgb="FF5E6389"/>
        <rFont val="WenQuanYi Zen Hei"/>
        <family val="2"/>
      </rPr>
      <t xml:space="preserve">매출 증감</t>
    </r>
  </si>
  <si>
    <r>
      <rPr>
        <i val="true"/>
        <sz val="9"/>
        <color rgb="FF808080"/>
        <rFont val="Arial"/>
        <family val="0"/>
        <charset val="1"/>
      </rPr>
      <t xml:space="preserve">hasCustomerData(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</si>
  <si>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리테일 매출 증감</t>
  </si>
  <si>
    <r>
      <rPr>
        <i val="true"/>
        <sz val="9"/>
        <color rgb="FF808080"/>
        <rFont val="Arial"/>
        <family val="0"/>
        <charset val="1"/>
      </rPr>
      <t xml:space="preserve">hasRevenueMix(</t>
    </r>
    <r>
      <rPr>
        <i val="true"/>
        <sz val="9"/>
        <color rgb="FF808080"/>
        <rFont val="WenQuanYi Zen Hei"/>
        <family val="2"/>
      </rPr>
      <t xml:space="preserve">이번달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</si>
  <si>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i val="true"/>
        <sz val="9"/>
        <color rgb="FF808080"/>
        <rFont val="WenQuanYi Zen Hei"/>
        <family val="2"/>
      </rPr>
      <t xml:space="preserve">서비스매출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지난달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</si>
  <si>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③ 고객구조 — 신규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WenQuanYi Zen Hei"/>
        <family val="2"/>
      </rPr>
      <t xml:space="preserve">재방문</t>
    </r>
  </si>
  <si>
    <r>
      <rPr>
        <i val="true"/>
        <sz val="9"/>
        <color rgb="FF808080"/>
        <rFont val="WenQuanYi Zen Hei"/>
        <family val="2"/>
      </rPr>
      <t xml:space="preserve">사전결제매출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지난달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</si>
  <si>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신규 인원</t>
  </si>
  <si>
    <r>
      <rPr>
        <i val="true"/>
        <sz val="9"/>
        <color rgb="FF808080"/>
        <rFont val="WenQuanYi Zen Hei"/>
        <family val="2"/>
      </rPr>
      <t xml:space="preserve">리테일매출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지난달</t>
    </r>
    <r>
      <rPr>
        <i val="true"/>
        <sz val="9"/>
        <color rgb="FF808080"/>
        <rFont val="Arial"/>
        <family val="0"/>
        <charset val="1"/>
      </rPr>
      <t xml:space="preserve">)</t>
    </r>
  </si>
  <si>
    <t xml:space="preserve">재방문 인원</t>
  </si>
  <si>
    <r>
      <rPr>
        <i val="true"/>
        <sz val="9"/>
        <color rgb="FF808080"/>
        <rFont val="Arial"/>
        <family val="0"/>
        <charset val="1"/>
      </rPr>
      <t xml:space="preserve">hasRevenueMix(</t>
    </r>
    <r>
      <rPr>
        <i val="true"/>
        <sz val="9"/>
        <color rgb="FF808080"/>
        <rFont val="WenQuanYi Zen Hei"/>
        <family val="2"/>
      </rPr>
      <t xml:space="preserve">지난달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</si>
  <si>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9"/>
        <color rgb="FF5E6389"/>
        <rFont val="WenQuanYi Zen Hei"/>
        <family val="2"/>
      </rPr>
      <t xml:space="preserve">재방문율 </t>
    </r>
    <r>
      <rPr>
        <sz val="9"/>
        <color rgb="FF5E6389"/>
        <rFont val="Arial"/>
        <family val="0"/>
        <charset val="1"/>
      </rPr>
      <t xml:space="preserve">(</t>
    </r>
    <r>
      <rPr>
        <sz val="9"/>
        <color rgb="FF5E6389"/>
        <rFont val="WenQuanYi Zen Hei"/>
        <family val="2"/>
      </rPr>
      <t xml:space="preserve">자동계산</t>
    </r>
    <r>
      <rPr>
        <sz val="9"/>
        <color rgb="FF5E6389"/>
        <rFont val="Arial"/>
        <family val="0"/>
        <charset val="1"/>
      </rPr>
      <t xml:space="preserve">)</t>
    </r>
  </si>
  <si>
    <t xml:space="preserve">④ 매출구성 비율</t>
  </si>
  <si>
    <t xml:space="preserve">구성 항목</t>
  </si>
  <si>
    <t xml:space="preserve">금액</t>
  </si>
  <si>
    <t xml:space="preserve">비율</t>
  </si>
  <si>
    <t xml:space="preserve">서비스 매출</t>
  </si>
  <si>
    <r>
      <rPr>
        <sz val="11"/>
        <color rgb="FF000000"/>
        <rFont val="WenQuanYi Zen Hei"/>
        <family val="2"/>
      </rPr>
      <t xml:space="preserve">사전결제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멤버십</t>
    </r>
    <r>
      <rPr>
        <sz val="11"/>
        <color rgb="FF000000"/>
        <rFont val="Arial"/>
        <family val="0"/>
        <charset val="1"/>
      </rPr>
      <t xml:space="preserve">) </t>
    </r>
    <r>
      <rPr>
        <sz val="11"/>
        <color rgb="FF000000"/>
        <rFont val="WenQuanYi Zen Hei"/>
        <family val="2"/>
      </rPr>
      <t xml:space="preserve">매출</t>
    </r>
  </si>
  <si>
    <t xml:space="preserve">리테일 매출</t>
  </si>
  <si>
    <r>
      <rPr>
        <b val="true"/>
        <sz val="11"/>
        <color rgb="FFFFFFFF"/>
        <rFont val="WenQuanYi Zen Hei"/>
        <family val="2"/>
      </rPr>
      <t xml:space="preserve">⑤ 매출 잠재력 — 이 지표만 개선하면</t>
    </r>
    <r>
      <rPr>
        <b val="true"/>
        <sz val="11"/>
        <color rgb="FFFFFFFF"/>
        <rFont val="Arial"/>
        <family val="0"/>
        <charset val="1"/>
      </rPr>
      <t xml:space="preserve">?</t>
    </r>
  </si>
  <si>
    <r>
      <rPr>
        <sz val="9"/>
        <color rgb="FF5E6389"/>
        <rFont val="WenQuanYi Zen Hei"/>
        <family val="2"/>
      </rPr>
      <t xml:space="preserve">기본형 </t>
    </r>
    <r>
      <rPr>
        <sz val="9"/>
        <color rgb="FF5E6389"/>
        <rFont val="Arial"/>
        <family val="0"/>
        <charset val="1"/>
      </rPr>
      <t xml:space="preserve">(</t>
    </r>
    <r>
      <rPr>
        <sz val="9"/>
        <color rgb="FF5E6389"/>
        <rFont val="WenQuanYi Zen Hei"/>
        <family val="2"/>
      </rPr>
      <t xml:space="preserve">객단가 </t>
    </r>
    <r>
      <rPr>
        <sz val="9"/>
        <color rgb="FF5E6389"/>
        <rFont val="Arial"/>
        <family val="0"/>
        <charset val="1"/>
      </rPr>
      <t xml:space="preserve">10% </t>
    </r>
    <r>
      <rPr>
        <sz val="9"/>
        <color rgb="FF5E6389"/>
        <rFont val="WenQuanYi Zen Hei"/>
        <family val="2"/>
      </rPr>
      <t xml:space="preserve">개선 시</t>
    </r>
    <r>
      <rPr>
        <sz val="9"/>
        <color rgb="FF5E6389"/>
        <rFont val="Arial"/>
        <family val="0"/>
        <charset val="1"/>
      </rPr>
      <t xml:space="preserve">)</t>
    </r>
  </si>
  <si>
    <r>
      <rPr>
        <sz val="9"/>
        <color rgb="FF5E6389"/>
        <rFont val="WenQuanYi Zen Hei"/>
        <family val="2"/>
      </rPr>
      <t xml:space="preserve">정밀형 </t>
    </r>
    <r>
      <rPr>
        <sz val="9"/>
        <color rgb="FF5E6389"/>
        <rFont val="Arial"/>
        <family val="0"/>
        <charset val="1"/>
      </rPr>
      <t xml:space="preserve">(</t>
    </r>
    <r>
      <rPr>
        <sz val="9"/>
        <color rgb="FF5E6389"/>
        <rFont val="WenQuanYi Zen Hei"/>
        <family val="2"/>
      </rPr>
      <t xml:space="preserve">재방문율 </t>
    </r>
    <r>
      <rPr>
        <sz val="9"/>
        <color rgb="FF5E6389"/>
        <rFont val="Arial"/>
        <family val="0"/>
        <charset val="1"/>
      </rPr>
      <t xml:space="preserve">10%p </t>
    </r>
    <r>
      <rPr>
        <sz val="9"/>
        <color rgb="FF5E6389"/>
        <rFont val="WenQuanYi Zen Hei"/>
        <family val="2"/>
      </rPr>
      <t xml:space="preserve">개선 시</t>
    </r>
    <r>
      <rPr>
        <sz val="9"/>
        <color rgb="FF5E6389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</si>
  <si>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⑥ 운영목표 — 이번 달 목표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실제</t>
    </r>
  </si>
  <si>
    <t xml:space="preserve">목표매출</t>
  </si>
  <si>
    <t xml:space="preserve">실제매출</t>
  </si>
  <si>
    <t xml:space="preserve">달성률</t>
  </si>
  <si>
    <t xml:space="preserve">목표까지 남은 금액</t>
  </si>
  <si>
    <r>
      <rPr>
        <b val="true"/>
        <sz val="11"/>
        <color rgb="FFFFFFFF"/>
        <rFont val="WenQuanYi Zen Hei"/>
        <family val="2"/>
      </rPr>
      <t xml:space="preserve">⑦ 산식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WenQuanYi Zen Hei"/>
        <family val="2"/>
      </rPr>
      <t xml:space="preserve">해석범위 고지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참고용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</si>
  <si>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WenQuanYi Zen Hei"/>
        <family val="2"/>
      </rPr>
      <t xml:space="preserve">객단가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WenQuanYi Zen Hei"/>
        <family val="2"/>
      </rPr>
      <t xml:space="preserve">총매출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WenQuanYi Zen Hei"/>
        <family val="2"/>
      </rPr>
      <t xml:space="preserve">총접객수
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WenQuanYi Zen Hei"/>
        <family val="2"/>
      </rPr>
      <t xml:space="preserve">일평균매출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WenQuanYi Zen Hei"/>
        <family val="2"/>
      </rPr>
      <t xml:space="preserve">총매출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WenQuanYi Zen Hei"/>
        <family val="2"/>
      </rPr>
      <t xml:space="preserve">관측월의 일수
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WenQuanYi Zen Hei"/>
        <family val="2"/>
      </rPr>
      <t xml:space="preserve">매출 잠재력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기본형</t>
    </r>
    <r>
      <rPr>
        <i val="true"/>
        <sz val="9"/>
        <color rgb="FF808080"/>
        <rFont val="Arial"/>
        <family val="0"/>
        <charset val="1"/>
      </rPr>
      <t xml:space="preserve">) = </t>
    </r>
    <r>
      <rPr>
        <i val="true"/>
        <sz val="9"/>
        <color rgb="FF808080"/>
        <rFont val="WenQuanYi Zen Hei"/>
        <family val="2"/>
      </rPr>
      <t xml:space="preserve">총매출 </t>
    </r>
    <r>
      <rPr>
        <i val="true"/>
        <sz val="9"/>
        <color rgb="FF808080"/>
        <rFont val="Arial"/>
        <family val="0"/>
        <charset val="1"/>
      </rPr>
      <t xml:space="preserve">× 10% — '</t>
    </r>
    <r>
      <rPr>
        <i val="true"/>
        <sz val="9"/>
        <color rgb="FF808080"/>
        <rFont val="WenQuanYi Zen Hei"/>
        <family val="2"/>
      </rPr>
      <t xml:space="preserve">객단가를 </t>
    </r>
    <r>
      <rPr>
        <i val="true"/>
        <sz val="9"/>
        <color rgb="FF808080"/>
        <rFont val="Arial"/>
        <family val="0"/>
        <charset val="1"/>
      </rPr>
      <t xml:space="preserve">10% </t>
    </r>
    <r>
      <rPr>
        <i val="true"/>
        <sz val="9"/>
        <color rgb="FF808080"/>
        <rFont val="WenQuanYi Zen Hei"/>
        <family val="2"/>
      </rPr>
      <t xml:space="preserve">개선했을 때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WenQuanYi Zen Hei"/>
        <family val="2"/>
      </rPr>
      <t xml:space="preserve">를 가정한 참고용 추정치이며 실제 결과를 보장하지 않습니다</t>
    </r>
    <r>
      <rPr>
        <i val="true"/>
        <sz val="9"/>
        <color rgb="FF808080"/>
        <rFont val="Arial"/>
        <family val="0"/>
        <charset val="1"/>
      </rPr>
      <t xml:space="preserve">.
· </t>
    </r>
    <r>
      <rPr>
        <i val="true"/>
        <sz val="9"/>
        <color rgb="FF808080"/>
        <rFont val="WenQuanYi Zen Hei"/>
        <family val="2"/>
      </rPr>
      <t xml:space="preserve">매출 잠재력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정밀형</t>
    </r>
    <r>
      <rPr>
        <i val="true"/>
        <sz val="9"/>
        <color rgb="FF808080"/>
        <rFont val="Arial"/>
        <family val="0"/>
        <charset val="1"/>
      </rPr>
      <t xml:space="preserve">) = (</t>
    </r>
    <r>
      <rPr>
        <i val="true"/>
        <sz val="9"/>
        <color rgb="FF808080"/>
        <rFont val="WenQuanYi Zen Hei"/>
        <family val="2"/>
      </rPr>
      <t xml:space="preserve">총접객수 </t>
    </r>
    <r>
      <rPr>
        <i val="true"/>
        <sz val="9"/>
        <color rgb="FF808080"/>
        <rFont val="Arial"/>
        <family val="0"/>
        <charset val="1"/>
      </rPr>
      <t xml:space="preserve">× 10%) × 1</t>
    </r>
    <r>
      <rPr>
        <i val="true"/>
        <sz val="9"/>
        <color rgb="FF808080"/>
        <rFont val="WenQuanYi Zen Hei"/>
        <family val="2"/>
      </rPr>
      <t xml:space="preserve">인당 서비스 단가 — 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WenQuanYi Zen Hei"/>
        <family val="2"/>
      </rPr>
      <t xml:space="preserve">재방문 고객이 </t>
    </r>
    <r>
      <rPr>
        <i val="true"/>
        <sz val="9"/>
        <color rgb="FF808080"/>
        <rFont val="Arial"/>
        <family val="0"/>
        <charset val="1"/>
      </rPr>
      <t xml:space="preserve">10%p </t>
    </r>
    <r>
      <rPr>
        <i val="true"/>
        <sz val="9"/>
        <color rgb="FF808080"/>
        <rFont val="WenQuanYi Zen Hei"/>
        <family val="2"/>
      </rPr>
      <t xml:space="preserve">늘었을 때</t>
    </r>
    <r>
      <rPr>
        <i val="true"/>
        <sz val="9"/>
        <color rgb="FF808080"/>
        <rFont val="Arial"/>
        <family val="0"/>
        <charset val="1"/>
      </rPr>
      <t xml:space="preserve">'</t>
    </r>
    <r>
      <rPr>
        <i val="true"/>
        <sz val="9"/>
        <color rgb="FF808080"/>
        <rFont val="WenQuanYi Zen Hei"/>
        <family val="2"/>
      </rPr>
      <t xml:space="preserve">를 가정한 참고용 추정치입니다</t>
    </r>
    <r>
      <rPr>
        <i val="true"/>
        <sz val="9"/>
        <color rgb="FF808080"/>
        <rFont val="Arial"/>
        <family val="0"/>
        <charset val="1"/>
      </rPr>
      <t xml:space="preserve">.
· </t>
    </r>
    <r>
      <rPr>
        <i val="true"/>
        <sz val="9"/>
        <color rgb="FF808080"/>
        <rFont val="WenQuanYi Zen Hei"/>
        <family val="2"/>
      </rPr>
      <t xml:space="preserve">재방문율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WenQuanYi Zen Hei"/>
        <family val="2"/>
      </rPr>
      <t xml:space="preserve">재방문 인원 </t>
    </r>
    <r>
      <rPr>
        <i val="true"/>
        <sz val="9"/>
        <color rgb="FF808080"/>
        <rFont val="Arial"/>
        <family val="0"/>
        <charset val="1"/>
      </rPr>
      <t xml:space="preserve">÷ (</t>
    </r>
    <r>
      <rPr>
        <i val="true"/>
        <sz val="9"/>
        <color rgb="FF808080"/>
        <rFont val="WenQuanYi Zen Hei"/>
        <family val="2"/>
      </rPr>
      <t xml:space="preserve">신규 인원 </t>
    </r>
    <r>
      <rPr>
        <i val="true"/>
        <sz val="9"/>
        <color rgb="FF808080"/>
        <rFont val="Arial"/>
        <family val="0"/>
        <charset val="1"/>
      </rPr>
      <t xml:space="preserve">+ </t>
    </r>
    <r>
      <rPr>
        <i val="true"/>
        <sz val="9"/>
        <color rgb="FF808080"/>
        <rFont val="WenQuanYi Zen Hei"/>
        <family val="2"/>
      </rPr>
      <t xml:space="preserve">재방문 인원</t>
    </r>
    <r>
      <rPr>
        <i val="true"/>
        <sz val="9"/>
        <color rgb="FF808080"/>
        <rFont val="Arial"/>
        <family val="0"/>
        <charset val="1"/>
      </rPr>
      <t xml:space="preserve">)
· </t>
    </r>
    <r>
      <rPr>
        <i val="true"/>
        <sz val="9"/>
        <color rgb="FF808080"/>
        <rFont val="WenQuanYi Zen Hei"/>
        <family val="2"/>
      </rPr>
      <t xml:space="preserve">원인 분해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증감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는 전월 대비 단순 차액이며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WenQuanYi Zen Hei"/>
        <family val="2"/>
      </rPr>
      <t xml:space="preserve">계절성</t>
    </r>
    <r>
      <rPr>
        <i val="true"/>
        <sz val="9"/>
        <color rgb="FF808080"/>
        <rFont val="Arial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이벤트 등 외부 요인은 반영하지 않습니다</t>
    </r>
    <r>
      <rPr>
        <i val="true"/>
        <sz val="9"/>
        <color rgb="FF808080"/>
        <rFont val="Arial"/>
        <family val="0"/>
        <charset val="1"/>
      </rPr>
      <t xml:space="preserve">.
· </t>
    </r>
    <r>
      <rPr>
        <i val="true"/>
        <sz val="9"/>
        <color rgb="FF808080"/>
        <rFont val="WenQuanYi Zen Hei"/>
        <family val="2"/>
      </rPr>
      <t xml:space="preserve">모든 수치는 디자이너 자가 입력에 기반하며</t>
    </r>
    <r>
      <rPr>
        <i val="true"/>
        <sz val="9"/>
        <color rgb="FF808080"/>
        <rFont val="Arial"/>
        <family val="0"/>
        <charset val="1"/>
      </rPr>
      <t xml:space="preserve">, POS·</t>
    </r>
    <r>
      <rPr>
        <i val="true"/>
        <sz val="9"/>
        <color rgb="FF808080"/>
        <rFont val="WenQuanYi Zen Hei"/>
        <family val="2"/>
      </rPr>
      <t xml:space="preserve">예약 시스템과 대조 검증되지 않습니다</t>
    </r>
    <r>
      <rPr>
        <i val="true"/>
        <sz val="9"/>
        <color rgb="FF808080"/>
        <rFont val="Arial"/>
        <family val="0"/>
        <charset val="1"/>
      </rPr>
      <t xml:space="preserve">.
· </t>
    </r>
    <r>
      <rPr>
        <i val="true"/>
        <sz val="9"/>
        <color rgb="FF808080"/>
        <rFont val="WenQuanYi Zen Hei"/>
        <family val="2"/>
      </rPr>
      <t xml:space="preserve">내부 기준 대비 등급 판정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우수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양호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보완 등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과 </t>
    </r>
    <r>
      <rPr>
        <i val="true"/>
        <sz val="9"/>
        <color rgb="FF808080"/>
        <rFont val="Arial"/>
        <family val="0"/>
        <charset val="1"/>
      </rPr>
      <t xml:space="preserve">90</t>
    </r>
    <r>
      <rPr>
        <i val="true"/>
        <sz val="9"/>
        <color rgb="FF808080"/>
        <rFont val="WenQuanYi Zen Hei"/>
        <family val="2"/>
      </rPr>
      <t xml:space="preserve">일 실행계획은 이번 프로토타입</t>
    </r>
    <r>
      <rPr>
        <i val="true"/>
        <sz val="9"/>
        <color rgb="FF808080"/>
        <rFont val="Arial"/>
        <family val="0"/>
        <charset val="1"/>
      </rPr>
      <t xml:space="preserve">(A</t>
    </r>
    <r>
      <rPr>
        <i val="true"/>
        <sz val="9"/>
        <color rgb="FF808080"/>
        <rFont val="WenQuanYi Zen Hei"/>
        <family val="2"/>
      </rPr>
      <t xml:space="preserve">그룹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에는 포함되지 않았습니다</t>
    </r>
    <r>
      <rPr>
        <i val="true"/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</si>
</sst>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yyyy\-mm\-dd"/>
    <numFmt numFmtId="167" formatCode="#,##0\원"/>
    <numFmt numFmtId="168" formatCode="\+#,##0;\-#,##0;0"/>
    <numFmt numFmtId="169" formatCode="0.0%"/>
    <numFmt numFmtId="170" formatCode="#,##0"/>
    <numFmt numFmtId="171" formatCode="\+#,##0\원"/>
    <numFmt numFmtId="172" formatCode="\+#,##0\원;\+#,##0\원;0;@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A5C"/>
      <name val="WenQuanYi Zen Hei"/>
      <family val="2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WenQuanYi Zen Hei"/>
      <family val="2"/>
    </font>
    <font>
      <sz val="11"/>
      <color rgb="FF000000"/>
      <name val="Arial"/>
      <family val="0"/>
      <charset val="1"/>
    </font>
    <font>
      <b val="true"/>
      <sz val="11"/>
      <color rgb="FF000000"/>
      <name val="WenQuanYi Zen Hei"/>
      <family val="2"/>
    </font>
    <font>
      <sz val="11"/>
      <color rgb="FF000000"/>
      <name val="WenQuanYi Zen Hei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1E2A5C"/>
      <name val="WenQuanYi Zen Hei"/>
      <family val="2"/>
    </font>
    <font>
      <b val="true"/>
      <sz val="11"/>
      <color rgb="FF1E2A5C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b val="true"/>
      <sz val="9"/>
      <color rgb="FFB3403F"/>
      <name val="WenQuanYi Zen Hei"/>
      <family val="2"/>
    </font>
    <font>
      <sz val="9"/>
      <color rgb="FF5E6389"/>
      <name val="WenQuanYi Zen Hei"/>
      <family val="2"/>
    </font>
    <font>
      <b val="true"/>
      <sz val="11"/>
      <color rgb="FF0000FF"/>
      <name val="WenQuanYi Zen Hei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9"/>
      <color rgb="FF5E6389"/>
      <name val="Arial"/>
      <family val="0"/>
      <charset val="1"/>
    </font>
    <font>
      <b val="true"/>
      <sz val="9"/>
      <color rgb="FF5E6389"/>
      <name val="WenQuanYi Zen Hei"/>
      <family val="2"/>
    </font>
    <font>
      <i val="true"/>
      <sz val="9"/>
      <color rgb="FFB98226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FEBFA"/>
        <bgColor rgb="FFFFFDE7"/>
      </patternFill>
    </fill>
    <fill>
      <patternFill patternType="solid">
        <fgColor rgb="FFFFE066"/>
        <bgColor rgb="FFFFCC00"/>
      </patternFill>
    </fill>
    <fill>
      <patternFill patternType="solid">
        <fgColor rgb="FFFFF9CC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D28D9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226"/>
      <rgbColor rgb="FF800080"/>
      <rgbColor rgb="FF008080"/>
      <rgbColor rgb="FFCCCCCC"/>
      <rgbColor rgb="FF808080"/>
      <rgbColor rgb="FF9999FF"/>
      <rgbColor rgb="FFB3403F"/>
      <rgbColor rgb="FFFFF9CC"/>
      <rgbColor rgb="FFEFEB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DE7"/>
      <rgbColor rgb="FF99CCFF"/>
      <rgbColor rgb="FFFF99CC"/>
      <rgbColor rgb="FFCC99FF"/>
      <rgbColor rgb="FFFFE066"/>
      <rgbColor rgb="FF4F81BD"/>
      <rgbColor rgb="FF33CCCC"/>
      <rgbColor rgb="FF9BBB59"/>
      <rgbColor rgb="FFFFCC00"/>
      <rgbColor rgb="FFFF9900"/>
      <rgbColor rgb="FFFF6600"/>
      <rgbColor rgb="FF5E6389"/>
      <rgbColor rgb="FF969696"/>
      <rgbColor rgb="FF1E2A5C"/>
      <rgbColor rgb="FF339966"/>
      <rgbColor rgb="FF003300"/>
      <rgbColor rgb="FF333300"/>
      <rgbColor rgb="FF993300"/>
      <rgbColor rgb="FFC0504D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매출구성 비율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리포트!$A$23:$A$25</c:f>
              <c:strCache>
                <c:ptCount val="3"/>
                <c:pt idx="0">
                  <c:v>서비스 매출</c:v>
                </c:pt>
                <c:pt idx="1">
                  <c:v>사전결제(멤버십) 매출</c:v>
                </c:pt>
                <c:pt idx="2">
                  <c:v>리테일 매출</c:v>
                </c:pt>
              </c:strCache>
            </c:strRef>
          </c:cat>
          <c:val>
            <c:numRef>
              <c:f>리포트!$B$23:$B$25</c:f>
              <c:numCache>
                <c:formatCode>#,##0</c:formatCode>
                <c:ptCount val="3"/>
                <c:pt idx="0">
                  <c:v>15200000</c:v>
                </c:pt>
                <c:pt idx="1">
                  <c:v>2100000</c:v>
                </c:pt>
                <c:pt idx="2">
                  <c:v>1200000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21</xdr:row>
      <xdr:rowOff>0</xdr:rowOff>
    </xdr:from>
    <xdr:to>
      <xdr:col>9</xdr:col>
      <xdr:colOff>204480</xdr:colOff>
      <xdr:row>32</xdr:row>
      <xdr:rowOff>72360</xdr:rowOff>
    </xdr:to>
    <xdr:graphicFrame>
      <xdr:nvGraphicFramePr>
        <xdr:cNvPr id="0" name="Chart 1"/>
        <xdr:cNvGraphicFramePr/>
      </xdr:nvGraphicFramePr>
      <xdr:xfrm>
        <a:off x="9293400" y="447660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8.35" hidden="false" customHeight="false" outlineLevel="0" collapsed="false">
      <c r="A5" s="3" t="s">
        <v>3</v>
      </c>
    </row>
    <row r="6" customFormat="false" ht="28.35" hidden="false" customHeight="false" outlineLevel="0" collapsed="false">
      <c r="A6" s="3" t="s">
        <v>4</v>
      </c>
    </row>
    <row r="7" customFormat="false" ht="28.3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4.9" hidden="false" customHeight="false" outlineLevel="0" collapsed="false">
      <c r="A9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28.3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5" t="s">
        <v>15</v>
      </c>
    </row>
    <row r="21" customFormat="false" ht="28.35" hidden="false" customHeight="false" outlineLevel="0" collapsed="false">
      <c r="A21" s="3" t="s">
        <v>16</v>
      </c>
    </row>
    <row r="22" customFormat="false" ht="28.35" hidden="false" customHeight="false" outlineLevel="0" collapsed="false">
      <c r="A22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6" t="s">
        <v>18</v>
      </c>
      <c r="B1" s="7" t="s">
        <v>19</v>
      </c>
      <c r="C1" s="7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K1" s="8" t="s">
        <v>27</v>
      </c>
      <c r="L1" s="8" t="s">
        <v>28</v>
      </c>
    </row>
    <row r="2" customFormat="false" ht="15" hidden="false" customHeight="false" outlineLevel="0" collapsed="false">
      <c r="A2" s="9" t="s">
        <v>29</v>
      </c>
      <c r="B2" s="10" t="n">
        <v>18500000</v>
      </c>
      <c r="C2" s="10" t="n">
        <v>210</v>
      </c>
      <c r="D2" s="9" t="n">
        <v>62</v>
      </c>
      <c r="E2" s="9" t="n">
        <v>148</v>
      </c>
      <c r="F2" s="9" t="n">
        <v>15200000</v>
      </c>
      <c r="G2" s="9" t="n">
        <v>2100000</v>
      </c>
      <c r="H2" s="9" t="n">
        <v>1200000</v>
      </c>
      <c r="I2" s="9" t="n">
        <v>20000000</v>
      </c>
      <c r="K2" s="11" t="n">
        <f aca="false">IF(AND(D2&lt;&gt;"",E2&lt;&gt;""),1,0)</f>
        <v>1</v>
      </c>
      <c r="L2" s="11" t="n">
        <f aca="false">IF(AND(F2&lt;&gt;"",G2&lt;&gt;"",H2&lt;&gt;""),1,0)</f>
        <v>1</v>
      </c>
    </row>
    <row r="3" customFormat="false" ht="15" hidden="false" customHeight="false" outlineLevel="0" collapsed="false">
      <c r="A3" s="12"/>
      <c r="B3" s="13"/>
      <c r="C3" s="13"/>
      <c r="D3" s="9"/>
      <c r="E3" s="9"/>
      <c r="F3" s="9"/>
      <c r="G3" s="9"/>
      <c r="H3" s="9"/>
      <c r="I3" s="9"/>
      <c r="K3" s="11" t="n">
        <f aca="false">IF(AND(D3&lt;&gt;"",E3&lt;&gt;""),1,0)</f>
        <v>0</v>
      </c>
      <c r="L3" s="11" t="n">
        <f aca="false">IF(AND(F3&lt;&gt;"",G3&lt;&gt;"",H3&lt;&gt;""),1,0)</f>
        <v>0</v>
      </c>
    </row>
    <row r="4" customFormat="false" ht="15" hidden="false" customHeight="false" outlineLevel="0" collapsed="false">
      <c r="A4" s="12"/>
      <c r="B4" s="13"/>
      <c r="C4" s="13"/>
      <c r="D4" s="9"/>
      <c r="E4" s="9"/>
      <c r="F4" s="9"/>
      <c r="G4" s="9"/>
      <c r="H4" s="9"/>
      <c r="I4" s="9"/>
      <c r="K4" s="11" t="n">
        <f aca="false">IF(AND(D4&lt;&gt;"",E4&lt;&gt;""),1,0)</f>
        <v>0</v>
      </c>
      <c r="L4" s="11" t="n">
        <f aca="false">IF(AND(F4&lt;&gt;"",G4&lt;&gt;"",H4&lt;&gt;""),1,0)</f>
        <v>0</v>
      </c>
    </row>
    <row r="5" customFormat="false" ht="15" hidden="false" customHeight="false" outlineLevel="0" collapsed="false">
      <c r="A5" s="12"/>
      <c r="B5" s="13"/>
      <c r="C5" s="13"/>
      <c r="D5" s="9"/>
      <c r="E5" s="9"/>
      <c r="F5" s="9"/>
      <c r="G5" s="9"/>
      <c r="H5" s="9"/>
      <c r="I5" s="9"/>
      <c r="K5" s="11" t="n">
        <f aca="false">IF(AND(D5&lt;&gt;"",E5&lt;&gt;""),1,0)</f>
        <v>0</v>
      </c>
      <c r="L5" s="11" t="n">
        <f aca="false">IF(AND(F5&lt;&gt;"",G5&lt;&gt;"",H5&lt;&gt;""),1,0)</f>
        <v>0</v>
      </c>
    </row>
    <row r="6" customFormat="false" ht="15" hidden="false" customHeight="false" outlineLevel="0" collapsed="false">
      <c r="A6" s="12"/>
      <c r="B6" s="13"/>
      <c r="C6" s="13"/>
      <c r="D6" s="9"/>
      <c r="E6" s="9"/>
      <c r="F6" s="9"/>
      <c r="G6" s="9"/>
      <c r="H6" s="9"/>
      <c r="I6" s="9"/>
      <c r="K6" s="11" t="n">
        <f aca="false">IF(AND(D6&lt;&gt;"",E6&lt;&gt;""),1,0)</f>
        <v>0</v>
      </c>
      <c r="L6" s="11" t="n">
        <f aca="false">IF(AND(F6&lt;&gt;"",G6&lt;&gt;"",H6&lt;&gt;""),1,0)</f>
        <v>0</v>
      </c>
    </row>
    <row r="7" customFormat="false" ht="15" hidden="false" customHeight="false" outlineLevel="0" collapsed="false">
      <c r="A7" s="12"/>
      <c r="B7" s="13"/>
      <c r="C7" s="13"/>
      <c r="D7" s="9"/>
      <c r="E7" s="9"/>
      <c r="F7" s="9"/>
      <c r="G7" s="9"/>
      <c r="H7" s="9"/>
      <c r="I7" s="9"/>
      <c r="K7" s="11" t="n">
        <f aca="false">IF(AND(D7&lt;&gt;"",E7&lt;&gt;""),1,0)</f>
        <v>0</v>
      </c>
      <c r="L7" s="11" t="n">
        <f aca="false">IF(AND(F7&lt;&gt;"",G7&lt;&gt;"",H7&lt;&gt;""),1,0)</f>
        <v>0</v>
      </c>
    </row>
    <row r="8" customFormat="false" ht="15" hidden="false" customHeight="false" outlineLevel="0" collapsed="false">
      <c r="A8" s="12"/>
      <c r="B8" s="13"/>
      <c r="C8" s="13"/>
      <c r="D8" s="9"/>
      <c r="E8" s="9"/>
      <c r="F8" s="9"/>
      <c r="G8" s="9"/>
      <c r="H8" s="9"/>
      <c r="I8" s="9"/>
      <c r="K8" s="11" t="n">
        <f aca="false">IF(AND(D8&lt;&gt;"",E8&lt;&gt;""),1,0)</f>
        <v>0</v>
      </c>
      <c r="L8" s="11" t="n">
        <f aca="false">IF(AND(F8&lt;&gt;"",G8&lt;&gt;"",H8&lt;&gt;""),1,0)</f>
        <v>0</v>
      </c>
    </row>
    <row r="9" customFormat="false" ht="15" hidden="false" customHeight="false" outlineLevel="0" collapsed="false">
      <c r="A9" s="12"/>
      <c r="B9" s="13"/>
      <c r="C9" s="13"/>
      <c r="D9" s="9"/>
      <c r="E9" s="9"/>
      <c r="F9" s="9"/>
      <c r="G9" s="9"/>
      <c r="H9" s="9"/>
      <c r="I9" s="9"/>
      <c r="K9" s="11" t="n">
        <f aca="false">IF(AND(D9&lt;&gt;"",E9&lt;&gt;""),1,0)</f>
        <v>0</v>
      </c>
      <c r="L9" s="11" t="n">
        <f aca="false">IF(AND(F9&lt;&gt;"",G9&lt;&gt;"",H9&lt;&gt;""),1,0)</f>
        <v>0</v>
      </c>
    </row>
    <row r="10" customFormat="false" ht="15" hidden="false" customHeight="false" outlineLevel="0" collapsed="false">
      <c r="A10" s="12"/>
      <c r="B10" s="13"/>
      <c r="C10" s="13"/>
      <c r="D10" s="9"/>
      <c r="E10" s="9"/>
      <c r="F10" s="9"/>
      <c r="G10" s="9"/>
      <c r="H10" s="9"/>
      <c r="I10" s="9"/>
      <c r="K10" s="11" t="n">
        <f aca="false">IF(AND(D10&lt;&gt;"",E10&lt;&gt;""),1,0)</f>
        <v>0</v>
      </c>
      <c r="L10" s="11" t="n">
        <f aca="false">IF(AND(F10&lt;&gt;"",G10&lt;&gt;"",H10&lt;&gt;""),1,0)</f>
        <v>0</v>
      </c>
    </row>
    <row r="11" customFormat="false" ht="15" hidden="false" customHeight="false" outlineLevel="0" collapsed="false">
      <c r="A11" s="12"/>
      <c r="B11" s="13"/>
      <c r="C11" s="13"/>
      <c r="D11" s="9"/>
      <c r="E11" s="9"/>
      <c r="F11" s="9"/>
      <c r="G11" s="9"/>
      <c r="H11" s="9"/>
      <c r="I11" s="9"/>
      <c r="K11" s="11" t="n">
        <f aca="false">IF(AND(D11&lt;&gt;"",E11&lt;&gt;""),1,0)</f>
        <v>0</v>
      </c>
      <c r="L11" s="11" t="n">
        <f aca="false">IF(AND(F11&lt;&gt;"",G11&lt;&gt;"",H11&lt;&gt;""),1,0)</f>
        <v>0</v>
      </c>
    </row>
    <row r="12" customFormat="false" ht="15" hidden="false" customHeight="false" outlineLevel="0" collapsed="false">
      <c r="A12" s="12"/>
      <c r="B12" s="13"/>
      <c r="C12" s="13"/>
      <c r="D12" s="9"/>
      <c r="E12" s="9"/>
      <c r="F12" s="9"/>
      <c r="G12" s="9"/>
      <c r="H12" s="9"/>
      <c r="I12" s="9"/>
      <c r="K12" s="11" t="n">
        <f aca="false">IF(AND(D12&lt;&gt;"",E12&lt;&gt;""),1,0)</f>
        <v>0</v>
      </c>
      <c r="L12" s="11" t="n">
        <f aca="false">IF(AND(F12&lt;&gt;"",G12&lt;&gt;"",H12&lt;&gt;""),1,0)</f>
        <v>0</v>
      </c>
    </row>
    <row r="13" customFormat="false" ht="15" hidden="false" customHeight="false" outlineLevel="0" collapsed="false">
      <c r="A13" s="12"/>
      <c r="B13" s="13"/>
      <c r="C13" s="13"/>
      <c r="D13" s="9"/>
      <c r="E13" s="9"/>
      <c r="F13" s="9"/>
      <c r="G13" s="9"/>
      <c r="H13" s="9"/>
      <c r="I13" s="9"/>
      <c r="K13" s="11" t="n">
        <f aca="false">IF(AND(D13&lt;&gt;"",E13&lt;&gt;""),1,0)</f>
        <v>0</v>
      </c>
      <c r="L13" s="11" t="n">
        <f aca="false">IF(AND(F13&lt;&gt;"",G13&lt;&gt;"",H13&lt;&gt;""),1,0)</f>
        <v>0</v>
      </c>
    </row>
    <row r="14" customFormat="false" ht="15" hidden="false" customHeight="false" outlineLevel="0" collapsed="false">
      <c r="A14" s="12"/>
      <c r="B14" s="13"/>
      <c r="C14" s="13"/>
      <c r="D14" s="9"/>
      <c r="E14" s="9"/>
      <c r="F14" s="9"/>
      <c r="G14" s="9"/>
      <c r="H14" s="9"/>
      <c r="I14" s="9"/>
      <c r="K14" s="11" t="n">
        <f aca="false">IF(AND(D14&lt;&gt;"",E14&lt;&gt;""),1,0)</f>
        <v>0</v>
      </c>
      <c r="L14" s="11" t="n">
        <f aca="false">IF(AND(F14&lt;&gt;"",G14&lt;&gt;"",H14&lt;&gt;""),1,0)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13" min="13" style="0" width="20"/>
    <col collapsed="false" customWidth="true" hidden="false" outlineLevel="0" max="14" min="14" style="0" width="14"/>
  </cols>
  <sheetData>
    <row r="1" customFormat="false" ht="25.5" hidden="false" customHeight="true" outlineLevel="0" collapsed="false">
      <c r="A1" s="14" t="s">
        <v>30</v>
      </c>
      <c r="B1" s="14"/>
      <c r="C1" s="14"/>
      <c r="D1" s="14"/>
      <c r="N1" s="15" t="s">
        <v>31</v>
      </c>
    </row>
    <row r="2" customFormat="false" ht="15" hidden="false" customHeight="false" outlineLevel="0" collapsed="false">
      <c r="A2" s="16" t="s">
        <v>32</v>
      </c>
      <c r="B2" s="17" t="s">
        <v>33</v>
      </c>
      <c r="C2" s="16" t="s">
        <v>34</v>
      </c>
      <c r="D2" s="18" t="str">
        <f aca="false">N4</f>
        <v>2026-08 (예시)</v>
      </c>
      <c r="M2" s="19" t="s">
        <v>35</v>
      </c>
      <c r="N2" s="19" t="n">
        <f aca="false">COUNTA(월별입력!A2:A14)</f>
        <v>1</v>
      </c>
    </row>
    <row r="3" customFormat="false" ht="15" hidden="false" customHeight="false" outlineLevel="0" collapsed="false">
      <c r="A3" s="16" t="s">
        <v>36</v>
      </c>
      <c r="B3" s="20" t="n">
        <f aca="true">TODAY()</f>
        <v>46292</v>
      </c>
      <c r="M3" s="19" t="s">
        <v>37</v>
      </c>
      <c r="N3" s="19" t="n">
        <f aca="false">IF(N2&gt;=1,1,0)</f>
        <v>1</v>
      </c>
    </row>
    <row r="4" customFormat="false" ht="15" hidden="false" customHeight="false" outlineLevel="0" collapsed="false">
      <c r="M4" s="19" t="s">
        <v>38</v>
      </c>
      <c r="N4" s="19" t="str">
        <f aca="false">IF(N3=1,INDEX(월별입력!A2:A14,N2),"")</f>
        <v>2026-08 (예시)</v>
      </c>
    </row>
    <row r="5" customFormat="false" ht="21.75" hidden="false" customHeight="true" outlineLevel="0" collapsed="false">
      <c r="A5" s="21" t="s">
        <v>39</v>
      </c>
      <c r="B5" s="21"/>
      <c r="C5" s="21"/>
      <c r="D5" s="21"/>
      <c r="M5" s="19" t="s">
        <v>40</v>
      </c>
      <c r="N5" s="19" t="n">
        <f aca="false">IF(N3=1,INDEX(월별입력!B2:B14,N2),"")</f>
        <v>18500000</v>
      </c>
    </row>
    <row r="6" customFormat="false" ht="15" hidden="false" customHeight="false" outlineLevel="0" collapsed="false">
      <c r="A6" s="16" t="s">
        <v>41</v>
      </c>
      <c r="B6" s="22" t="n">
        <f aca="false">IF(N3=1,N5,"필수 데이터를 입력해주세요 (월별입력 시트, 노란 칸)")</f>
        <v>18500000</v>
      </c>
      <c r="C6" s="22"/>
      <c r="D6" s="22"/>
      <c r="M6" s="19" t="s">
        <v>42</v>
      </c>
      <c r="N6" s="19" t="n">
        <f aca="false">IF(N3=1,INDEX(월별입력!C2:C14,N2),"")</f>
        <v>210</v>
      </c>
    </row>
    <row r="7" customFormat="false" ht="15" hidden="false" customHeight="false" outlineLevel="0" collapsed="false">
      <c r="A7" s="16" t="s">
        <v>43</v>
      </c>
      <c r="B7" s="22" t="n">
        <f aca="false">IF(N3=1,N6,"필수 데이터를 입력해주세요 (월별입력 시트, 노란 칸)")</f>
        <v>210</v>
      </c>
      <c r="C7" s="22"/>
      <c r="D7" s="22"/>
      <c r="M7" s="19" t="s">
        <v>44</v>
      </c>
      <c r="N7" s="19" t="n">
        <f aca="false">IF(N3=1,INDEX(월별입력!D2:D14,N2),"")</f>
        <v>62</v>
      </c>
    </row>
    <row r="8" customFormat="false" ht="15" hidden="false" customHeight="false" outlineLevel="0" collapsed="false">
      <c r="A8" s="16" t="s">
        <v>45</v>
      </c>
      <c r="B8" s="23" t="n">
        <f aca="false">IF(N3=1,IFERROR(N5/N6,0),"필수 데이터를 입력해주세요 (월별입력 시트, 노란 칸)")</f>
        <v>88095.2380952381</v>
      </c>
      <c r="C8" s="23"/>
      <c r="D8" s="23"/>
      <c r="M8" s="19" t="s">
        <v>46</v>
      </c>
      <c r="N8" s="19" t="n">
        <f aca="false">IF(N3=1,INDEX(월별입력!E2:E14,N2),"")</f>
        <v>148</v>
      </c>
    </row>
    <row r="9" customFormat="false" ht="15" hidden="false" customHeight="false" outlineLevel="0" collapsed="false">
      <c r="A9" s="16" t="s">
        <v>47</v>
      </c>
      <c r="B9" s="22" t="n">
        <f aca="false">IF(N3=1,IFERROR(N5/DAY(EOMONTH(DATEVALUE(LEFT(N4,7)&amp;"-01"),0)),0),"필수 데이터를 입력해주세요 (월별입력 시트, 노란 칸)")</f>
        <v>596774.193548387</v>
      </c>
      <c r="C9" s="22"/>
      <c r="D9" s="22"/>
      <c r="M9" s="19" t="s">
        <v>48</v>
      </c>
      <c r="N9" s="19" t="n">
        <f aca="false">IF(N3=1,INDEX(월별입력!F2:F14,N2),"")</f>
        <v>15200000</v>
      </c>
    </row>
    <row r="10" customFormat="false" ht="15" hidden="false" customHeight="false" outlineLevel="0" collapsed="false">
      <c r="M10" s="19" t="s">
        <v>49</v>
      </c>
      <c r="N10" s="19" t="n">
        <f aca="false">IF(N3=1,INDEX(월별입력!G2:G14,N2),"")</f>
        <v>2100000</v>
      </c>
    </row>
    <row r="11" customFormat="false" ht="21.75" hidden="false" customHeight="true" outlineLevel="0" collapsed="false">
      <c r="A11" s="24" t="s">
        <v>50</v>
      </c>
      <c r="B11" s="24"/>
      <c r="C11" s="24"/>
      <c r="D11" s="24"/>
      <c r="M11" s="19" t="s">
        <v>51</v>
      </c>
      <c r="N11" s="19" t="n">
        <f aca="false">IF(N3=1,INDEX(월별입력!H2:H14,N2),"")</f>
        <v>1200000</v>
      </c>
    </row>
    <row r="12" customFormat="false" ht="15" hidden="false" customHeight="false" outlineLevel="0" collapsed="false">
      <c r="A12" s="16" t="s">
        <v>52</v>
      </c>
      <c r="B12" s="25" t="str">
        <f aca="false">IF(N14=0,"선택 입력하면 이 진단이 열려요",IF(N2&lt;2,"비교할 지난달 데이터가 아직 없어요 (다음 달부터 보여요)",IF(N18=0,"지난달 선택 입력이 없어서 비교할 수 없어요",N9-N15)))</f>
        <v>비교할 지난달 데이터가 아직 없어요 (다음 달부터 보여요)</v>
      </c>
      <c r="C12" s="25"/>
      <c r="D12" s="25"/>
      <c r="M12" s="19" t="s">
        <v>53</v>
      </c>
      <c r="N12" s="19" t="n">
        <f aca="false">IF(N3=1,INDEX(월별입력!I2:I14,N2),"")</f>
        <v>20000000</v>
      </c>
    </row>
    <row r="13" customFormat="false" ht="15" hidden="false" customHeight="false" outlineLevel="0" collapsed="false">
      <c r="A13" s="16" t="s">
        <v>54</v>
      </c>
      <c r="B13" s="25" t="str">
        <f aca="false">IF(N14=0,"선택 입력하면 이 진단이 열려요",IF(N2&lt;2,"비교할 지난달 데이터가 아직 없어요 (다음 달부터 보여요)",IF(N18=0,"지난달 선택 입력이 없어서 비교할 수 없어요",N10-N16)))</f>
        <v>비교할 지난달 데이터가 아직 없어요 (다음 달부터 보여요)</v>
      </c>
      <c r="C13" s="25"/>
      <c r="D13" s="25"/>
      <c r="M13" s="11" t="s">
        <v>55</v>
      </c>
      <c r="N13" s="19" t="n">
        <f aca="false">IF(N3=1,INDEX(월별입력!K2:K14,N2),0)</f>
        <v>1</v>
      </c>
    </row>
    <row r="14" customFormat="false" ht="15" hidden="false" customHeight="false" outlineLevel="0" collapsed="false">
      <c r="A14" s="16" t="s">
        <v>56</v>
      </c>
      <c r="B14" s="25" t="str">
        <f aca="false">IF(N14=0,"선택 입력하면 이 진단이 열려요",IF(N2&lt;2,"비교할 지난달 데이터가 아직 없어요 (다음 달부터 보여요)",IF(N18=0,"지난달 선택 입력이 없어서 비교할 수 없어요",N11-N17)))</f>
        <v>비교할 지난달 데이터가 아직 없어요 (다음 달부터 보여요)</v>
      </c>
      <c r="C14" s="25"/>
      <c r="D14" s="25"/>
      <c r="M14" s="11" t="s">
        <v>57</v>
      </c>
      <c r="N14" s="19" t="n">
        <f aca="false">IF(N3=1,INDEX(월별입력!L2:L14,N2),0)</f>
        <v>1</v>
      </c>
    </row>
    <row r="15" customFormat="false" ht="15" hidden="false" customHeight="false" outlineLevel="0" collapsed="false">
      <c r="M15" s="19" t="s">
        <v>58</v>
      </c>
      <c r="N15" s="19" t="str">
        <f aca="false">IF(N2&gt;=2,INDEX(월별입력!F2:F14,N2-1),"")</f>
        <v/>
      </c>
    </row>
    <row r="16" customFormat="false" ht="21.75" hidden="false" customHeight="true" outlineLevel="0" collapsed="false">
      <c r="A16" s="24" t="s">
        <v>59</v>
      </c>
      <c r="B16" s="24"/>
      <c r="C16" s="24"/>
      <c r="D16" s="24"/>
      <c r="M16" s="19" t="s">
        <v>60</v>
      </c>
      <c r="N16" s="19" t="str">
        <f aca="false">IF(N2&gt;=2,INDEX(월별입력!G2:G14,N2-1),"")</f>
        <v/>
      </c>
    </row>
    <row r="17" customFormat="false" ht="15" hidden="false" customHeight="false" outlineLevel="0" collapsed="false">
      <c r="A17" s="16" t="s">
        <v>61</v>
      </c>
      <c r="B17" s="26" t="n">
        <f aca="false">IF(N13=1,N7,"선택 입력하면 이 진단이 열려요")</f>
        <v>62</v>
      </c>
      <c r="C17" s="26"/>
      <c r="D17" s="26"/>
      <c r="M17" s="19" t="s">
        <v>62</v>
      </c>
      <c r="N17" s="19" t="str">
        <f aca="false">IF(N2&gt;=2,INDEX(월별입력!H2:H14,N2-1),"")</f>
        <v/>
      </c>
    </row>
    <row r="18" customFormat="false" ht="15" hidden="false" customHeight="false" outlineLevel="0" collapsed="false">
      <c r="A18" s="16" t="s">
        <v>63</v>
      </c>
      <c r="B18" s="26" t="n">
        <f aca="false">IF(N13=1,N8,"선택 입력하면 이 진단이 열려요")</f>
        <v>148</v>
      </c>
      <c r="C18" s="26"/>
      <c r="D18" s="26"/>
      <c r="M18" s="11" t="s">
        <v>64</v>
      </c>
      <c r="N18" s="19" t="n">
        <f aca="false">IF(N2&gt;=2,INDEX(월별입력!L2:L14,N2-1),0)</f>
        <v>0</v>
      </c>
    </row>
    <row r="19" customFormat="false" ht="15" hidden="false" customHeight="false" outlineLevel="0" collapsed="false">
      <c r="A19" s="16" t="s">
        <v>65</v>
      </c>
      <c r="B19" s="27" t="n">
        <f aca="false">IF(N13=1,IFERROR(N8/(N7+N8),0),"선택 입력하면 이 진단이 열려요")</f>
        <v>0.704761904761905</v>
      </c>
      <c r="C19" s="27"/>
      <c r="D19" s="27"/>
    </row>
    <row r="21" customFormat="false" ht="21.75" hidden="false" customHeight="true" outlineLevel="0" collapsed="false">
      <c r="A21" s="24" t="s">
        <v>66</v>
      </c>
      <c r="B21" s="24"/>
      <c r="C21" s="24"/>
      <c r="D21" s="24"/>
    </row>
    <row r="22" customFormat="false" ht="15" hidden="false" customHeight="false" outlineLevel="0" collapsed="false">
      <c r="A22" s="28" t="s">
        <v>67</v>
      </c>
      <c r="B22" s="28" t="s">
        <v>68</v>
      </c>
      <c r="C22" s="28" t="s">
        <v>69</v>
      </c>
    </row>
    <row r="23" customFormat="false" ht="15" hidden="false" customHeight="false" outlineLevel="0" collapsed="false">
      <c r="A23" s="29" t="s">
        <v>70</v>
      </c>
      <c r="B23" s="30" t="n">
        <f aca="false">IF(N14=1,N9,0)</f>
        <v>15200000</v>
      </c>
      <c r="C23" s="31" t="n">
        <f aca="false">IF(N14=1,IFERROR(N9/(N9+N10+N11),0),0)</f>
        <v>0.821621621621622</v>
      </c>
    </row>
    <row r="24" customFormat="false" ht="15" hidden="false" customHeight="false" outlineLevel="0" collapsed="false">
      <c r="A24" s="29" t="s">
        <v>71</v>
      </c>
      <c r="B24" s="30" t="n">
        <f aca="false">IF(N14=1,N10,0)</f>
        <v>2100000</v>
      </c>
      <c r="C24" s="31" t="n">
        <f aca="false">IF(N14=1,IFERROR(N10/(N9+N10+N11),0),0)</f>
        <v>0.113513513513514</v>
      </c>
    </row>
    <row r="25" customFormat="false" ht="15" hidden="false" customHeight="false" outlineLevel="0" collapsed="false">
      <c r="A25" s="29" t="s">
        <v>72</v>
      </c>
      <c r="B25" s="30" t="n">
        <f aca="false">IF(N14=1,N11,0)</f>
        <v>1200000</v>
      </c>
      <c r="C25" s="31" t="n">
        <f aca="false">IF(N14=1,IFERROR(N11/(N9+N10+N11),0),0)</f>
        <v>0.0648648648648649</v>
      </c>
    </row>
    <row r="26" customFormat="false" ht="15" hidden="false" customHeight="false" outlineLevel="0" collapsed="false">
      <c r="A26" s="32" t="str">
        <f aca="false">IF(N14=0,"선택 입력하면 이 진단이 열려요","")</f>
        <v/>
      </c>
      <c r="B26" s="32"/>
      <c r="C26" s="32"/>
      <c r="D26" s="32"/>
    </row>
    <row r="28" customFormat="false" ht="21.75" hidden="false" customHeight="true" outlineLevel="0" collapsed="false">
      <c r="A28" s="24" t="s">
        <v>73</v>
      </c>
      <c r="B28" s="24"/>
      <c r="C28" s="24"/>
      <c r="D28" s="24"/>
    </row>
    <row r="29" customFormat="false" ht="15" hidden="false" customHeight="false" outlineLevel="0" collapsed="false">
      <c r="A29" s="16" t="s">
        <v>74</v>
      </c>
      <c r="B29" s="33" t="n">
        <f aca="false">IF(N3=1,N5*0.1,"필수 데이터를 입력해주세요 (월별입력 시트, 노란 칸)")</f>
        <v>1850000</v>
      </c>
      <c r="C29" s="33"/>
      <c r="D29" s="33"/>
    </row>
    <row r="30" customFormat="false" ht="15" hidden="false" customHeight="false" outlineLevel="0" collapsed="false">
      <c r="A30" s="16" t="s">
        <v>75</v>
      </c>
      <c r="B30" s="34" t="n">
        <f aca="false">IF(N13=0,"선택 입력하면 더 정밀한 계산이 열려요",N6*0.1*IFERROR(N9/(N7+N8),IFERROR(N5/N6,0)))</f>
        <v>1520000</v>
      </c>
      <c r="C30" s="34"/>
      <c r="D30" s="34"/>
    </row>
    <row r="32" customFormat="false" ht="21.75" hidden="false" customHeight="true" outlineLevel="0" collapsed="false">
      <c r="A32" s="24" t="s">
        <v>76</v>
      </c>
      <c r="B32" s="24"/>
      <c r="C32" s="24"/>
      <c r="D32" s="24"/>
    </row>
    <row r="33" customFormat="false" ht="15" hidden="false" customHeight="false" outlineLevel="0" collapsed="false">
      <c r="A33" s="16" t="s">
        <v>77</v>
      </c>
      <c r="B33" s="26" t="n">
        <f aca="false">IF(N12="","목표를 입력하면 진행률을 보여드려요",N12)</f>
        <v>20000000</v>
      </c>
      <c r="C33" s="26"/>
      <c r="D33" s="26"/>
    </row>
    <row r="34" customFormat="false" ht="15" hidden="false" customHeight="false" outlineLevel="0" collapsed="false">
      <c r="A34" s="16" t="s">
        <v>78</v>
      </c>
      <c r="B34" s="26" t="n">
        <f aca="false">IF(N12="","목표를 입력하면 진행률을 보여드려요",N5)</f>
        <v>18500000</v>
      </c>
      <c r="C34" s="26"/>
      <c r="D34" s="26"/>
    </row>
    <row r="35" customFormat="false" ht="15" hidden="false" customHeight="false" outlineLevel="0" collapsed="false">
      <c r="A35" s="16" t="s">
        <v>79</v>
      </c>
      <c r="B35" s="27" t="n">
        <f aca="false">IF(N12="","목표를 입력하면 진행률을 보여드려요",IFERROR(N5/N12,0))</f>
        <v>0.925</v>
      </c>
      <c r="C35" s="27"/>
      <c r="D35" s="27"/>
    </row>
    <row r="36" customFormat="false" ht="15" hidden="false" customHeight="false" outlineLevel="0" collapsed="false">
      <c r="A36" s="16" t="s">
        <v>80</v>
      </c>
      <c r="B36" s="35" t="n">
        <f aca="false">IF(N12="","목표를 입력하면 진행률을 보여드려요",MAX(N12-N5,0))</f>
        <v>1500000</v>
      </c>
      <c r="C36" s="35"/>
      <c r="D36" s="35"/>
    </row>
    <row r="38" customFormat="false" ht="21.75" hidden="false" customHeight="true" outlineLevel="0" collapsed="false">
      <c r="A38" s="24" t="s">
        <v>81</v>
      </c>
      <c r="B38" s="24"/>
      <c r="C38" s="24"/>
      <c r="D38" s="24"/>
    </row>
    <row r="39" customFormat="false" ht="120" hidden="false" customHeight="true" outlineLevel="0" collapsed="false">
      <c r="A39" s="36" t="s">
        <v>82</v>
      </c>
      <c r="B39" s="36"/>
      <c r="C39" s="36"/>
      <c r="D39" s="36"/>
    </row>
    <row r="40" customFormat="false" ht="15" hidden="false" customHeight="false" outlineLevel="0" collapsed="false">
      <c r="A40" s="36"/>
      <c r="B40" s="36"/>
      <c r="C40" s="36"/>
      <c r="D40" s="36"/>
    </row>
    <row r="41" customFormat="false" ht="15" hidden="false" customHeight="false" outlineLevel="0" collapsed="false">
      <c r="A41" s="36"/>
      <c r="B41" s="36"/>
      <c r="C41" s="36"/>
      <c r="D41" s="36"/>
    </row>
    <row r="42" customFormat="false" ht="15" hidden="false" customHeight="false" outlineLevel="0" collapsed="false">
      <c r="A42" s="36"/>
      <c r="B42" s="36"/>
      <c r="C42" s="36"/>
      <c r="D42" s="36"/>
    </row>
    <row r="43" customFormat="false" ht="15" hidden="false" customHeight="false" outlineLevel="0" collapsed="false">
      <c r="A43" s="36"/>
      <c r="B43" s="36"/>
      <c r="C43" s="36"/>
      <c r="D43" s="36"/>
    </row>
    <row r="44" customFormat="false" ht="15" hidden="false" customHeight="false" outlineLevel="0" collapsed="false">
      <c r="A44" s="36"/>
      <c r="B44" s="36"/>
      <c r="C44" s="36"/>
      <c r="D44" s="36"/>
    </row>
    <row r="45" customFormat="false" ht="15" hidden="false" customHeight="false" outlineLevel="0" collapsed="false">
      <c r="A45" s="36"/>
      <c r="B45" s="36"/>
      <c r="C45" s="36"/>
      <c r="D45" s="36"/>
    </row>
    <row r="46" customFormat="false" ht="15" hidden="false" customHeight="false" outlineLevel="0" collapsed="false">
      <c r="A46" s="36"/>
      <c r="B46" s="36"/>
      <c r="C46" s="36"/>
      <c r="D46" s="36"/>
    </row>
  </sheetData>
  <mergeCells count="26">
    <mergeCell ref="A1:D1"/>
    <mergeCell ref="A5:D5"/>
    <mergeCell ref="B6:D6"/>
    <mergeCell ref="B7:D7"/>
    <mergeCell ref="B8:D8"/>
    <mergeCell ref="B9:D9"/>
    <mergeCell ref="A11:D11"/>
    <mergeCell ref="B12:D12"/>
    <mergeCell ref="B13:D13"/>
    <mergeCell ref="B14:D14"/>
    <mergeCell ref="A16:D16"/>
    <mergeCell ref="B17:D17"/>
    <mergeCell ref="B18:D18"/>
    <mergeCell ref="B19:D19"/>
    <mergeCell ref="A21:D21"/>
    <mergeCell ref="A26:D26"/>
    <mergeCell ref="A28:D28"/>
    <mergeCell ref="B29:D29"/>
    <mergeCell ref="B30:D30"/>
    <mergeCell ref="A32:D32"/>
    <mergeCell ref="B33:D33"/>
    <mergeCell ref="B34:D34"/>
    <mergeCell ref="B35:D35"/>
    <mergeCell ref="B36:D36"/>
    <mergeCell ref="A38:D38"/>
    <mergeCell ref="A39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2026-09-27T22:03:41Z</dcterms:created>
  <dc:creator>openpyxl</dc:creator>
  <dc:description/>
  <dc:language>en-US</dc:language>
  <cp:lastModifiedBy/>
  <dcterms:modified xsi:type="dcterms:W3CDTF">2026-09-27T22:23:53Z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